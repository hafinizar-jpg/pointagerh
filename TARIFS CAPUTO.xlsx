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smarket-my.sharepoint.com/personal/hafi_n_dpsmarket_com/Documents/.CAPUTO/"/>
    </mc:Choice>
  </mc:AlternateContent>
  <xr:revisionPtr revIDLastSave="223" documentId="8_{4ED7771D-E2B7-4086-A1AD-1DFC9A144733}" xr6:coauthVersionLast="47" xr6:coauthVersionMax="47" xr10:uidLastSave="{CC84B37A-F9E0-C143-BA7B-55E2C889833E}"/>
  <bookViews>
    <workbookView xWindow="-98" yWindow="-98" windowWidth="21795" windowHeight="14235" xr2:uid="{A7339D84-401B-4F03-BA71-DF1B8265A68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4" i="1"/>
  <c r="C39" i="1"/>
  <c r="C35" i="1"/>
  <c r="C37" i="1"/>
  <c r="B39" i="1"/>
  <c r="C16" i="1"/>
  <c r="E16" i="1"/>
  <c r="G16" i="1"/>
  <c r="H16" i="1"/>
  <c r="I16" i="1"/>
  <c r="F3" i="1"/>
  <c r="C3" i="1"/>
  <c r="C4" i="1"/>
  <c r="F4" i="1"/>
  <c r="C21" i="1"/>
  <c r="E21" i="1"/>
  <c r="G21" i="1"/>
  <c r="C22" i="1"/>
  <c r="E22" i="1"/>
  <c r="G22" i="1"/>
  <c r="C23" i="1"/>
  <c r="E23" i="1"/>
  <c r="G23" i="1"/>
  <c r="C24" i="1"/>
  <c r="E24" i="1"/>
  <c r="G24" i="1"/>
  <c r="C25" i="1"/>
  <c r="E25" i="1"/>
  <c r="G25" i="1"/>
  <c r="C20" i="1"/>
  <c r="E20" i="1"/>
  <c r="G20" i="1"/>
  <c r="H20" i="1"/>
  <c r="I20" i="1"/>
  <c r="C11" i="1"/>
  <c r="E11" i="1"/>
  <c r="G11" i="1"/>
  <c r="C12" i="1"/>
  <c r="E12" i="1"/>
  <c r="G12" i="1"/>
  <c r="C13" i="1"/>
  <c r="E13" i="1"/>
  <c r="G13" i="1"/>
  <c r="H13" i="1"/>
  <c r="I13" i="1"/>
  <c r="C14" i="1"/>
  <c r="E14" i="1"/>
  <c r="G14" i="1"/>
  <c r="C15" i="1"/>
  <c r="C10" i="1"/>
  <c r="E10" i="1"/>
  <c r="G10" i="1"/>
  <c r="E15" i="1"/>
  <c r="G15" i="1"/>
  <c r="H15" i="1"/>
  <c r="I15" i="1"/>
  <c r="H24" i="1"/>
  <c r="I24" i="1"/>
  <c r="H22" i="1"/>
  <c r="I22" i="1"/>
  <c r="H14" i="1"/>
  <c r="I14" i="1"/>
  <c r="H12" i="1"/>
  <c r="I12" i="1"/>
  <c r="H11" i="1"/>
  <c r="I11" i="1"/>
  <c r="H10" i="1"/>
  <c r="I10" i="1"/>
  <c r="H25" i="1"/>
  <c r="I25" i="1"/>
  <c r="H23" i="1"/>
  <c r="I23" i="1"/>
  <c r="H21" i="1"/>
  <c r="I21" i="1"/>
</calcChain>
</file>

<file path=xl/sharedStrings.xml><?xml version="1.0" encoding="utf-8"?>
<sst xmlns="http://schemas.openxmlformats.org/spreadsheetml/2006/main" count="57" uniqueCount="38">
  <si>
    <t xml:space="preserve">PIZZERIA </t>
  </si>
  <si>
    <t>SACAROSSO</t>
  </si>
  <si>
    <t>NUVOLA</t>
  </si>
  <si>
    <t>REMISE</t>
  </si>
  <si>
    <t>TRANSPORT</t>
  </si>
  <si>
    <t>PA NET</t>
  </si>
  <si>
    <t>PV DPS NEG</t>
  </si>
  <si>
    <t>PV FINAL</t>
  </si>
  <si>
    <t>NUVOLA SUPER</t>
  </si>
  <si>
    <t>ARIA</t>
  </si>
  <si>
    <t>ORO MANITOBA</t>
  </si>
  <si>
    <t>PV METRO</t>
  </si>
  <si>
    <t>X</t>
  </si>
  <si>
    <t>PA 100 KG</t>
  </si>
  <si>
    <t xml:space="preserve">PA  SAC </t>
  </si>
  <si>
    <t>PV FINAL 15%</t>
  </si>
  <si>
    <t xml:space="preserve">GRANGER </t>
  </si>
  <si>
    <t>OLANO</t>
  </si>
  <si>
    <t>HT</t>
  </si>
  <si>
    <t>TTC</t>
  </si>
  <si>
    <t>POIDS CAMION</t>
  </si>
  <si>
    <t>TRANSPORT SPADONI</t>
  </si>
  <si>
    <t>TRANSPORT MUTTI          CORSI FIT</t>
  </si>
  <si>
    <t xml:space="preserve">COMMANDE </t>
  </si>
  <si>
    <t>SACAROSSO 25 KG</t>
  </si>
  <si>
    <t>PIZZERIA  5 KG</t>
  </si>
  <si>
    <t>SACAROSSO 5 KG</t>
  </si>
  <si>
    <t>NUVOLA 5 KG</t>
  </si>
  <si>
    <t xml:space="preserve">TOTAL </t>
  </si>
  <si>
    <t>NB DE PALETTE</t>
  </si>
  <si>
    <r>
      <rPr>
        <b/>
        <sz val="16"/>
        <color theme="1"/>
        <rFont val="Aptos Narrow"/>
        <family val="2"/>
        <scheme val="minor"/>
      </rPr>
      <t>5 KG</t>
    </r>
    <r>
      <rPr>
        <sz val="11"/>
        <color theme="1"/>
        <rFont val="Aptos Narrow"/>
        <family val="2"/>
        <scheme val="minor"/>
      </rPr>
      <t xml:space="preserve">  198 SACS / PAL SOIT  990 KG</t>
    </r>
  </si>
  <si>
    <r>
      <rPr>
        <b/>
        <sz val="16"/>
        <color theme="1"/>
        <rFont val="Aptos Narrow"/>
        <family val="2"/>
        <scheme val="minor"/>
      </rPr>
      <t>25 KG</t>
    </r>
    <r>
      <rPr>
        <sz val="11"/>
        <color theme="1"/>
        <rFont val="Aptos Narrow"/>
        <family val="2"/>
        <scheme val="minor"/>
      </rPr>
      <t xml:space="preserve"> 40 SACS / PAL SOIT 1000 KG </t>
    </r>
  </si>
  <si>
    <t>PA REMISE</t>
  </si>
  <si>
    <t xml:space="preserve">POIDS COMMANDE </t>
  </si>
  <si>
    <t>PAL EUR</t>
  </si>
  <si>
    <t>PRIX HT /  KG</t>
  </si>
  <si>
    <t xml:space="preserve">SEMOLA DI GRANA DURO 5 KG </t>
  </si>
  <si>
    <t>PIZZERIA 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</si>
</sst>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76DB-B7CD-4C2B-A433-A7C9E52E01E3}">
  <dimension ref="A1:K39"/>
  <sheetViews>
    <sheetView tabSelected="1" zoomScale="129" workbookViewId="0">
      <selection activeCell="A20" sqref="A20:XFD20"/>
    </sheetView>
  </sheetViews>
  <sheetFormatPr baseColWidth="10" defaultColWidth="10.73046875" defaultRowHeight="14.25" x14ac:dyDescent="0.45"/>
  <cols>
    <col min="1" max="1" width="38.33203125" customWidth="1"/>
    <col min="2" max="2" width="20.73046875" style="1" customWidth="1"/>
    <col min="3" max="5" width="14" style="1" customWidth="1"/>
    <col min="6" max="7" width="12.3984375" style="1" customWidth="1"/>
    <col min="8" max="8" width="12.3984375" style="10" customWidth="1"/>
    <col min="9" max="9" width="12.3984375" style="1" customWidth="1"/>
    <col min="10" max="10" width="10.59765625" style="1"/>
  </cols>
  <sheetData>
    <row r="1" spans="1:11" x14ac:dyDescent="0.45">
      <c r="A1" s="15" t="s">
        <v>4</v>
      </c>
      <c r="B1" s="3" t="s">
        <v>18</v>
      </c>
      <c r="C1" s="3" t="s">
        <v>19</v>
      </c>
      <c r="D1" s="1" t="s">
        <v>20</v>
      </c>
      <c r="E1" s="1" t="s">
        <v>34</v>
      </c>
      <c r="F1" s="3" t="s">
        <v>35</v>
      </c>
      <c r="H1" s="1"/>
      <c r="I1" s="10"/>
      <c r="K1" s="1"/>
    </row>
    <row r="2" spans="1:11" x14ac:dyDescent="0.45">
      <c r="A2" s="2"/>
      <c r="B2" s="3"/>
      <c r="C2" s="3"/>
      <c r="D2" s="3"/>
      <c r="E2" s="3"/>
      <c r="F2" s="3"/>
      <c r="H2" s="1"/>
      <c r="I2" s="10"/>
      <c r="K2" s="1"/>
    </row>
    <row r="3" spans="1:11" x14ac:dyDescent="0.45">
      <c r="A3" s="2" t="s">
        <v>16</v>
      </c>
      <c r="B3" s="3">
        <v>3201</v>
      </c>
      <c r="C3" s="3">
        <f>SUM(B3*1.2)</f>
        <v>3841.2</v>
      </c>
      <c r="D3" s="12">
        <v>23800</v>
      </c>
      <c r="E3" s="22">
        <v>1.4999999999999999E-2</v>
      </c>
      <c r="F3" s="22">
        <f>SUM(B3/D3+E3)</f>
        <v>0.14949579831932774</v>
      </c>
      <c r="H3" s="1"/>
      <c r="I3" s="10"/>
      <c r="K3" s="1"/>
    </row>
    <row r="4" spans="1:11" x14ac:dyDescent="0.45">
      <c r="A4" s="2" t="s">
        <v>17</v>
      </c>
      <c r="B4" s="3">
        <v>3896</v>
      </c>
      <c r="C4" s="3">
        <f>SUM(B4*1.2)</f>
        <v>4675.2</v>
      </c>
      <c r="D4" s="12">
        <v>23800</v>
      </c>
      <c r="E4" s="22">
        <v>1.4999999999999999E-2</v>
      </c>
      <c r="F4" s="22">
        <f>SUM(B4/D4+E4)</f>
        <v>0.17869747899159666</v>
      </c>
      <c r="H4" s="1"/>
      <c r="I4" s="10"/>
      <c r="K4" s="1"/>
    </row>
    <row r="5" spans="1:11" x14ac:dyDescent="0.45">
      <c r="A5" s="2" t="s">
        <v>22</v>
      </c>
      <c r="B5" s="3"/>
      <c r="C5" s="3"/>
      <c r="D5" s="12"/>
      <c r="E5" s="12"/>
      <c r="F5" s="3"/>
    </row>
    <row r="6" spans="1:11" x14ac:dyDescent="0.45">
      <c r="A6" s="2" t="s">
        <v>21</v>
      </c>
      <c r="B6" s="3"/>
      <c r="C6" s="3"/>
      <c r="D6" s="12"/>
      <c r="E6" s="12"/>
      <c r="F6" s="3"/>
    </row>
    <row r="7" spans="1:11" x14ac:dyDescent="0.45">
      <c r="A7" s="13"/>
      <c r="B7" s="14"/>
      <c r="C7" s="14"/>
      <c r="D7" s="14"/>
      <c r="E7" s="14"/>
    </row>
    <row r="8" spans="1:11" x14ac:dyDescent="0.45">
      <c r="A8" s="2"/>
      <c r="B8" s="3" t="s">
        <v>13</v>
      </c>
      <c r="C8" s="3" t="s">
        <v>14</v>
      </c>
      <c r="D8" s="3" t="s">
        <v>3</v>
      </c>
      <c r="E8" s="3" t="s">
        <v>32</v>
      </c>
      <c r="F8" s="3" t="s">
        <v>4</v>
      </c>
      <c r="G8" s="3" t="s">
        <v>5</v>
      </c>
      <c r="H8" s="5" t="s">
        <v>6</v>
      </c>
      <c r="I8" s="5" t="s">
        <v>15</v>
      </c>
      <c r="J8" s="3" t="s">
        <v>11</v>
      </c>
    </row>
    <row r="9" spans="1:11" ht="21" x14ac:dyDescent="0.65">
      <c r="A9" s="8" t="s">
        <v>30</v>
      </c>
      <c r="B9" s="11"/>
      <c r="C9" s="3"/>
      <c r="D9" s="3"/>
      <c r="E9" s="3"/>
      <c r="F9" s="3"/>
      <c r="G9" s="3"/>
      <c r="H9" s="5"/>
      <c r="I9" s="5"/>
      <c r="J9" s="3"/>
    </row>
    <row r="10" spans="1:11" x14ac:dyDescent="0.45">
      <c r="A10" s="16" t="s">
        <v>0</v>
      </c>
      <c r="B10" s="18">
        <v>87</v>
      </c>
      <c r="C10" s="18">
        <f>SUM(B10/100)*5</f>
        <v>4.3499999999999996</v>
      </c>
      <c r="D10" s="19">
        <v>0.03</v>
      </c>
      <c r="E10" s="18">
        <f>SUM(C10*0.97)</f>
        <v>4.2194999999999991</v>
      </c>
      <c r="F10" s="18">
        <v>1</v>
      </c>
      <c r="G10" s="18">
        <f>SUM(E10+F10)</f>
        <v>5.2194999999999991</v>
      </c>
      <c r="H10" s="20">
        <f t="shared" ref="H10:H15" si="0">SUM(G10/0.97)</f>
        <v>5.3809278350515459</v>
      </c>
      <c r="I10" s="20">
        <f>SUM(H10/0.85)</f>
        <v>6.3305033353547602</v>
      </c>
      <c r="J10" s="3">
        <v>7.44</v>
      </c>
    </row>
    <row r="11" spans="1:11" x14ac:dyDescent="0.45">
      <c r="A11" s="16" t="s">
        <v>1</v>
      </c>
      <c r="B11" s="18">
        <v>88</v>
      </c>
      <c r="C11" s="18">
        <f t="shared" ref="C11:C15" si="1">SUM(B11/100)*5</f>
        <v>4.4000000000000004</v>
      </c>
      <c r="D11" s="19">
        <v>0.03</v>
      </c>
      <c r="E11" s="18">
        <f t="shared" ref="E11:E14" si="2">SUM(C11*0.97)</f>
        <v>4.2679999999999998</v>
      </c>
      <c r="F11" s="18">
        <v>1</v>
      </c>
      <c r="G11" s="18">
        <f t="shared" ref="G11:G15" si="3">SUM(E11+F11)</f>
        <v>5.2679999999999998</v>
      </c>
      <c r="H11" s="20">
        <f t="shared" si="0"/>
        <v>5.4309278350515466</v>
      </c>
      <c r="I11" s="20">
        <f t="shared" ref="I11:I25" si="4">SUM(H11/0.85)</f>
        <v>6.3893268647665256</v>
      </c>
      <c r="J11" s="3">
        <v>7.6</v>
      </c>
    </row>
    <row r="12" spans="1:11" x14ac:dyDescent="0.45">
      <c r="A12" s="16" t="s">
        <v>2</v>
      </c>
      <c r="B12" s="18">
        <v>119</v>
      </c>
      <c r="C12" s="18">
        <f t="shared" si="1"/>
        <v>5.9499999999999993</v>
      </c>
      <c r="D12" s="19">
        <v>0.03</v>
      </c>
      <c r="E12" s="18">
        <f t="shared" si="2"/>
        <v>5.7714999999999987</v>
      </c>
      <c r="F12" s="18">
        <v>1</v>
      </c>
      <c r="G12" s="18">
        <f t="shared" si="3"/>
        <v>6.7714999999999987</v>
      </c>
      <c r="H12" s="20">
        <f t="shared" si="0"/>
        <v>6.9809278350515456</v>
      </c>
      <c r="I12" s="20">
        <f t="shared" si="4"/>
        <v>8.2128562765312303</v>
      </c>
      <c r="J12" s="3">
        <v>9.49</v>
      </c>
    </row>
    <row r="13" spans="1:11" x14ac:dyDescent="0.45">
      <c r="A13" s="2" t="s">
        <v>8</v>
      </c>
      <c r="B13" s="11">
        <v>123</v>
      </c>
      <c r="C13" s="3">
        <f t="shared" si="1"/>
        <v>6.15</v>
      </c>
      <c r="D13" s="4">
        <v>0.03</v>
      </c>
      <c r="E13" s="3">
        <f t="shared" si="2"/>
        <v>5.9655000000000005</v>
      </c>
      <c r="F13" s="3">
        <v>1</v>
      </c>
      <c r="G13" s="3">
        <f t="shared" si="3"/>
        <v>6.9655000000000005</v>
      </c>
      <c r="H13" s="5">
        <f t="shared" si="0"/>
        <v>7.1809278350515466</v>
      </c>
      <c r="I13" s="5">
        <f t="shared" si="4"/>
        <v>8.4481503941782901</v>
      </c>
      <c r="J13" s="3">
        <v>10.14</v>
      </c>
    </row>
    <row r="14" spans="1:11" x14ac:dyDescent="0.45">
      <c r="A14" s="2" t="s">
        <v>9</v>
      </c>
      <c r="B14" s="11">
        <v>129</v>
      </c>
      <c r="C14" s="3">
        <f t="shared" si="1"/>
        <v>6.45</v>
      </c>
      <c r="D14" s="4">
        <v>0.03</v>
      </c>
      <c r="E14" s="3">
        <f t="shared" si="2"/>
        <v>6.2565</v>
      </c>
      <c r="F14" s="3">
        <v>1</v>
      </c>
      <c r="G14" s="3">
        <f t="shared" si="3"/>
        <v>7.2565</v>
      </c>
      <c r="H14" s="5">
        <f t="shared" si="0"/>
        <v>7.4809278350515465</v>
      </c>
      <c r="I14" s="5">
        <f t="shared" si="4"/>
        <v>8.8010915706488788</v>
      </c>
      <c r="J14" s="3" t="s">
        <v>12</v>
      </c>
    </row>
    <row r="15" spans="1:11" x14ac:dyDescent="0.45">
      <c r="A15" s="2" t="s">
        <v>10</v>
      </c>
      <c r="B15" s="11">
        <v>95</v>
      </c>
      <c r="C15" s="3">
        <f t="shared" si="1"/>
        <v>4.75</v>
      </c>
      <c r="D15" s="4">
        <v>0.03</v>
      </c>
      <c r="E15" s="3">
        <f>SUM(C15*0.97)</f>
        <v>4.6074999999999999</v>
      </c>
      <c r="F15" s="3">
        <v>1</v>
      </c>
      <c r="G15" s="3">
        <f t="shared" si="3"/>
        <v>5.6074999999999999</v>
      </c>
      <c r="H15" s="5">
        <f t="shared" si="0"/>
        <v>5.7809278350515463</v>
      </c>
      <c r="I15" s="5">
        <f t="shared" si="4"/>
        <v>6.8010915706488779</v>
      </c>
      <c r="J15" s="3">
        <v>9.65</v>
      </c>
    </row>
    <row r="16" spans="1:11" x14ac:dyDescent="0.45">
      <c r="A16" s="16" t="s">
        <v>36</v>
      </c>
      <c r="B16" s="18">
        <v>121</v>
      </c>
      <c r="C16" s="18">
        <f>SUM(B16/100)*5</f>
        <v>6.05</v>
      </c>
      <c r="D16" s="19">
        <v>0.03</v>
      </c>
      <c r="E16" s="18">
        <f>SUM(C16*0.97)</f>
        <v>5.8685</v>
      </c>
      <c r="F16" s="18">
        <v>1</v>
      </c>
      <c r="G16" s="18">
        <f>SUM(E16+F16)</f>
        <v>6.8685</v>
      </c>
      <c r="H16" s="20">
        <f>SUM(G16/0.97)</f>
        <v>7.080927835051547</v>
      </c>
      <c r="I16" s="20">
        <f>SUM(H16/0.85)</f>
        <v>8.3305033353547611</v>
      </c>
      <c r="J16" s="3"/>
    </row>
    <row r="17" spans="1:10" x14ac:dyDescent="0.45">
      <c r="A17" s="6"/>
      <c r="B17" s="7"/>
      <c r="C17" s="7"/>
      <c r="D17" s="7"/>
      <c r="E17" s="7"/>
      <c r="F17" s="7"/>
      <c r="G17" s="7"/>
      <c r="H17" s="9"/>
      <c r="I17" s="9"/>
      <c r="J17" s="7"/>
    </row>
    <row r="18" spans="1:10" x14ac:dyDescent="0.45">
      <c r="A18" s="2"/>
      <c r="B18" s="3" t="s">
        <v>13</v>
      </c>
      <c r="C18" s="3" t="s">
        <v>14</v>
      </c>
      <c r="D18" s="3" t="s">
        <v>3</v>
      </c>
      <c r="E18" s="3"/>
      <c r="F18" s="3" t="s">
        <v>4</v>
      </c>
      <c r="G18" s="3" t="s">
        <v>5</v>
      </c>
      <c r="H18" s="5" t="s">
        <v>6</v>
      </c>
      <c r="I18" s="5" t="s">
        <v>7</v>
      </c>
      <c r="J18" s="3" t="s">
        <v>11</v>
      </c>
    </row>
    <row r="19" spans="1:10" ht="21" x14ac:dyDescent="0.65">
      <c r="A19" s="8" t="s">
        <v>31</v>
      </c>
      <c r="B19" s="11"/>
      <c r="C19" s="3"/>
      <c r="D19" s="3"/>
      <c r="E19" s="3"/>
      <c r="F19" s="3"/>
      <c r="G19" s="3"/>
      <c r="H19" s="5"/>
      <c r="I19" s="5"/>
      <c r="J19" s="3"/>
    </row>
    <row r="20" spans="1:10" s="27" customFormat="1" x14ac:dyDescent="0.45">
      <c r="A20" s="23" t="s">
        <v>0</v>
      </c>
      <c r="B20" s="24">
        <v>81</v>
      </c>
      <c r="C20" s="24">
        <f>SUM(B20/100)*25</f>
        <v>20.25</v>
      </c>
      <c r="D20" s="25">
        <v>0.03</v>
      </c>
      <c r="E20" s="24">
        <f t="shared" ref="E20:E25" si="5">SUM(C20*0.97)</f>
        <v>19.642499999999998</v>
      </c>
      <c r="F20" s="24">
        <v>5</v>
      </c>
      <c r="G20" s="24">
        <f t="shared" ref="G20:G25" si="6">SUM(E20+F20)</f>
        <v>24.642499999999998</v>
      </c>
      <c r="H20" s="26">
        <f t="shared" ref="H20:H25" si="7">SUM(G20/0.97)</f>
        <v>25.404639175257731</v>
      </c>
      <c r="I20" s="26">
        <f t="shared" si="4"/>
        <v>29.887810794420862</v>
      </c>
      <c r="J20" s="24">
        <v>35.299999999999997</v>
      </c>
    </row>
    <row r="21" spans="1:10" x14ac:dyDescent="0.45">
      <c r="A21" s="16" t="s">
        <v>1</v>
      </c>
      <c r="B21" s="18">
        <v>82</v>
      </c>
      <c r="C21" s="18">
        <f t="shared" ref="C21:C25" si="8">SUM(B21/100)*25</f>
        <v>20.5</v>
      </c>
      <c r="D21" s="19">
        <v>0.03</v>
      </c>
      <c r="E21" s="18">
        <f t="shared" si="5"/>
        <v>19.884999999999998</v>
      </c>
      <c r="F21" s="18">
        <v>5</v>
      </c>
      <c r="G21" s="18">
        <f t="shared" si="6"/>
        <v>24.884999999999998</v>
      </c>
      <c r="H21" s="20">
        <f t="shared" si="7"/>
        <v>25.654639175257731</v>
      </c>
      <c r="I21" s="20">
        <f t="shared" si="4"/>
        <v>30.181928441479684</v>
      </c>
      <c r="J21" s="3">
        <v>36.78</v>
      </c>
    </row>
    <row r="22" spans="1:10" x14ac:dyDescent="0.45">
      <c r="A22" s="2" t="s">
        <v>2</v>
      </c>
      <c r="B22" s="3">
        <v>113</v>
      </c>
      <c r="C22" s="3">
        <f t="shared" si="8"/>
        <v>28.249999999999996</v>
      </c>
      <c r="D22" s="4">
        <v>0.03</v>
      </c>
      <c r="E22" s="3">
        <f t="shared" si="5"/>
        <v>27.402499999999996</v>
      </c>
      <c r="F22" s="3">
        <v>5</v>
      </c>
      <c r="G22" s="3">
        <f t="shared" si="6"/>
        <v>32.402499999999996</v>
      </c>
      <c r="H22" s="5">
        <f t="shared" si="7"/>
        <v>33.404639175257728</v>
      </c>
      <c r="I22" s="5">
        <f t="shared" si="4"/>
        <v>39.299575500303213</v>
      </c>
      <c r="J22" s="3" t="s">
        <v>12</v>
      </c>
    </row>
    <row r="23" spans="1:10" x14ac:dyDescent="0.45">
      <c r="A23" s="2" t="s">
        <v>8</v>
      </c>
      <c r="B23" s="3">
        <v>117</v>
      </c>
      <c r="C23" s="3">
        <f t="shared" si="8"/>
        <v>29.25</v>
      </c>
      <c r="D23" s="4">
        <v>0.03</v>
      </c>
      <c r="E23" s="3">
        <f t="shared" si="5"/>
        <v>28.372499999999999</v>
      </c>
      <c r="F23" s="3">
        <v>5</v>
      </c>
      <c r="G23" s="3">
        <f t="shared" si="6"/>
        <v>33.372500000000002</v>
      </c>
      <c r="H23" s="5">
        <f t="shared" si="7"/>
        <v>34.404639175257735</v>
      </c>
      <c r="I23" s="5">
        <f t="shared" si="4"/>
        <v>40.47604608853851</v>
      </c>
      <c r="J23" s="3" t="s">
        <v>12</v>
      </c>
    </row>
    <row r="24" spans="1:10" x14ac:dyDescent="0.45">
      <c r="A24" s="2" t="s">
        <v>9</v>
      </c>
      <c r="B24" s="3">
        <v>123</v>
      </c>
      <c r="C24" s="3">
        <f t="shared" si="8"/>
        <v>30.75</v>
      </c>
      <c r="D24" s="4">
        <v>0.03</v>
      </c>
      <c r="E24" s="3">
        <f t="shared" si="5"/>
        <v>29.827500000000001</v>
      </c>
      <c r="F24" s="3">
        <v>5</v>
      </c>
      <c r="G24" s="3">
        <f t="shared" si="6"/>
        <v>34.827500000000001</v>
      </c>
      <c r="H24" s="5">
        <f t="shared" si="7"/>
        <v>35.904639175257735</v>
      </c>
      <c r="I24" s="5">
        <f t="shared" si="4"/>
        <v>42.240751970891452</v>
      </c>
      <c r="J24" s="3" t="s">
        <v>12</v>
      </c>
    </row>
    <row r="25" spans="1:10" x14ac:dyDescent="0.45">
      <c r="A25" s="2" t="s">
        <v>10</v>
      </c>
      <c r="B25" s="3">
        <v>88</v>
      </c>
      <c r="C25" s="3">
        <f t="shared" si="8"/>
        <v>22</v>
      </c>
      <c r="D25" s="4">
        <v>0.03</v>
      </c>
      <c r="E25" s="3">
        <f t="shared" si="5"/>
        <v>21.34</v>
      </c>
      <c r="F25" s="3">
        <v>5</v>
      </c>
      <c r="G25" s="3">
        <f t="shared" si="6"/>
        <v>26.34</v>
      </c>
      <c r="H25" s="5">
        <f t="shared" si="7"/>
        <v>27.154639175257731</v>
      </c>
      <c r="I25" s="5">
        <f t="shared" si="4"/>
        <v>31.946634323832626</v>
      </c>
      <c r="J25" s="3" t="s">
        <v>12</v>
      </c>
    </row>
    <row r="28" spans="1:10" ht="28.5" customHeight="1" x14ac:dyDescent="0.45">
      <c r="A28" s="2" t="s">
        <v>23</v>
      </c>
      <c r="B28" s="3" t="s">
        <v>29</v>
      </c>
      <c r="C28" s="21" t="s">
        <v>33</v>
      </c>
    </row>
    <row r="29" spans="1:10" x14ac:dyDescent="0.45">
      <c r="A29" s="2"/>
      <c r="B29" s="3"/>
      <c r="C29" s="3"/>
    </row>
    <row r="30" spans="1:10" x14ac:dyDescent="0.45">
      <c r="A30" s="17" t="s">
        <v>25</v>
      </c>
      <c r="B30" s="3">
        <v>4</v>
      </c>
      <c r="C30" s="3">
        <f>SUM(B30*990)</f>
        <v>3960</v>
      </c>
    </row>
    <row r="31" spans="1:10" x14ac:dyDescent="0.45">
      <c r="A31" s="17" t="s">
        <v>26</v>
      </c>
      <c r="B31" s="3">
        <v>13</v>
      </c>
      <c r="C31" s="3">
        <f t="shared" ref="C31:C32" si="9">SUM(B31*990)</f>
        <v>12870</v>
      </c>
    </row>
    <row r="32" spans="1:10" x14ac:dyDescent="0.45">
      <c r="A32" s="17" t="s">
        <v>27</v>
      </c>
      <c r="B32" s="3">
        <v>4</v>
      </c>
      <c r="C32" s="3">
        <f t="shared" si="9"/>
        <v>3960</v>
      </c>
    </row>
    <row r="33" spans="1:3" x14ac:dyDescent="0.45">
      <c r="A33" s="17"/>
      <c r="B33" s="3"/>
      <c r="C33" s="3"/>
    </row>
    <row r="34" spans="1:3" x14ac:dyDescent="0.45">
      <c r="A34" s="17" t="s">
        <v>24</v>
      </c>
      <c r="B34" s="3">
        <v>2</v>
      </c>
      <c r="C34" s="3">
        <f>SUM(B34*1000)</f>
        <v>2000</v>
      </c>
    </row>
    <row r="35" spans="1:3" x14ac:dyDescent="0.45">
      <c r="A35" s="17" t="s">
        <v>37</v>
      </c>
      <c r="B35" s="3">
        <v>1</v>
      </c>
      <c r="C35" s="3">
        <f>SUM(B35*1000)</f>
        <v>1000</v>
      </c>
    </row>
    <row r="36" spans="1:3" x14ac:dyDescent="0.45">
      <c r="A36" s="17"/>
      <c r="B36" s="3"/>
      <c r="C36" s="3"/>
    </row>
    <row r="37" spans="1:3" x14ac:dyDescent="0.45">
      <c r="A37" s="17" t="s">
        <v>36</v>
      </c>
      <c r="B37" s="3">
        <v>0</v>
      </c>
      <c r="C37" s="3">
        <f>SUM(B37*990)</f>
        <v>0</v>
      </c>
    </row>
    <row r="38" spans="1:3" x14ac:dyDescent="0.45">
      <c r="A38" s="2"/>
      <c r="B38" s="3"/>
      <c r="C38" s="3"/>
    </row>
    <row r="39" spans="1:3" x14ac:dyDescent="0.45">
      <c r="A39" s="17" t="s">
        <v>28</v>
      </c>
      <c r="B39" s="3">
        <f>SUM(B30:B38)</f>
        <v>24</v>
      </c>
      <c r="C39" s="3">
        <f>SUM(C30:C37)</f>
        <v>23790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e068e9-5b27-4303-8d2d-502394cc371c}" enabled="0" method="" siteId="{37e068e9-5b27-4303-8d2d-502394cc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 hafi</dc:creator>
  <cp:lastModifiedBy>nizar hafi</cp:lastModifiedBy>
  <dcterms:created xsi:type="dcterms:W3CDTF">2025-03-19T09:37:01Z</dcterms:created>
  <dcterms:modified xsi:type="dcterms:W3CDTF">2025-07-30T07:50:52Z</dcterms:modified>
</cp:coreProperties>
</file>